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Java-UML-V3\perhaps\type2\"/>
    </mc:Choice>
  </mc:AlternateContent>
  <xr:revisionPtr revIDLastSave="0" documentId="13_ncr:1_{864BF2CE-84B5-49EC-A968-EAAD3FBB7A24}" xr6:coauthVersionLast="47" xr6:coauthVersionMax="47" xr10:uidLastSave="{00000000-0000-0000-0000-000000000000}"/>
  <bookViews>
    <workbookView xWindow="11064" yWindow="204" windowWidth="9852" windowHeight="11964" xr2:uid="{00000000-000D-0000-FFFF-FFFF00000000}"/>
  </bookViews>
  <sheets>
    <sheet name="UMLDiagramElements" sheetId="1" r:id="rId1"/>
    <sheet name="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J7" i="1"/>
  <c r="R7" i="1" s="1"/>
  <c r="G7" i="1"/>
  <c r="D7" i="1"/>
  <c r="L6" i="1"/>
  <c r="I6" i="1"/>
  <c r="F6" i="1"/>
  <c r="R6" i="1" s="1"/>
  <c r="C6" i="1"/>
  <c r="K5" i="1"/>
  <c r="H5" i="1"/>
  <c r="R5" i="1" s="1"/>
  <c r="E5" i="1"/>
  <c r="B5" i="1"/>
  <c r="E45" i="2"/>
  <c r="G45" i="2"/>
</calcChain>
</file>

<file path=xl/sharedStrings.xml><?xml version="1.0" encoding="utf-8"?>
<sst xmlns="http://schemas.openxmlformats.org/spreadsheetml/2006/main" count="54" uniqueCount="40">
  <si>
    <t>class/Recall</t>
  </si>
  <si>
    <t>class/Precision</t>
  </si>
  <si>
    <t>class/F1</t>
  </si>
  <si>
    <t>attr/Precision</t>
  </si>
  <si>
    <t>attr/Recall</t>
  </si>
  <si>
    <t>attr/F1</t>
  </si>
  <si>
    <t>const/Precision</t>
  </si>
  <si>
    <t>const/Recall</t>
  </si>
  <si>
    <t>const/F1</t>
  </si>
  <si>
    <t>method/Precision</t>
  </si>
  <si>
    <t>method/Recall</t>
  </si>
  <si>
    <t>method/F1</t>
  </si>
  <si>
    <t>relation/Precision</t>
  </si>
  <si>
    <t>relation/Recall</t>
  </si>
  <si>
    <t>relation/F1</t>
  </si>
  <si>
    <t>Inheritance</t>
  </si>
  <si>
    <t>Dependency</t>
  </si>
  <si>
    <t>Association</t>
  </si>
  <si>
    <t>TP</t>
  </si>
  <si>
    <t>FP</t>
  </si>
  <si>
    <t>FN</t>
  </si>
  <si>
    <t>Relationships</t>
  </si>
  <si>
    <t>From</t>
  </si>
  <si>
    <t>To</t>
  </si>
  <si>
    <t>Precision=0.9</t>
  </si>
  <si>
    <t>Recall=0.4285714</t>
  </si>
  <si>
    <t>F1-score=0.5808</t>
  </si>
  <si>
    <t>Average Precision</t>
  </si>
  <si>
    <t>Average Recall</t>
  </si>
  <si>
    <t>Average F1</t>
  </si>
  <si>
    <t>Type</t>
  </si>
  <si>
    <t>EnumLiteral</t>
  </si>
  <si>
    <t>ModelElement</t>
  </si>
  <si>
    <t>Aggregation</t>
  </si>
  <si>
    <t>Entity</t>
  </si>
  <si>
    <t xml:space="preserve">Association </t>
  </si>
  <si>
    <t>Expression</t>
  </si>
  <si>
    <t>Precision=.9375</t>
  </si>
  <si>
    <t>Recall=1</t>
  </si>
  <si>
    <t>F1-score=0.968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</si>
</sst>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K1" workbookViewId="0">
      <selection activeCell="P8" sqref="P8"/>
    </sheetView>
  </sheetViews>
  <sheetFormatPr defaultRowHeight="14.4" x14ac:dyDescent="0.3"/>
  <cols>
    <col min="2" max="2" width="9.21875" customWidth="1"/>
    <col min="3" max="3" width="8.6640625" customWidth="1"/>
    <col min="4" max="4" width="7.77734375" customWidth="1"/>
    <col min="5" max="5" width="8.21875" customWidth="1"/>
    <col min="11" max="11" width="10.6640625" customWidth="1"/>
    <col min="14" max="14" width="11.44140625" customWidth="1"/>
    <col min="15" max="15" width="13.6640625" customWidth="1"/>
  </cols>
  <sheetData>
    <row r="1" spans="1:18" x14ac:dyDescent="0.3"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8" x14ac:dyDescent="0.3">
      <c r="A2">
        <v>1</v>
      </c>
      <c r="B2">
        <v>1</v>
      </c>
      <c r="C2">
        <v>1</v>
      </c>
      <c r="D2">
        <v>1</v>
      </c>
      <c r="E2">
        <v>1</v>
      </c>
      <c r="F2">
        <v>0.73</v>
      </c>
      <c r="G2">
        <v>0.84</v>
      </c>
      <c r="H2">
        <v>1</v>
      </c>
      <c r="I2">
        <v>1</v>
      </c>
      <c r="J2">
        <v>1</v>
      </c>
      <c r="K2">
        <v>0.91</v>
      </c>
      <c r="L2">
        <v>0.71</v>
      </c>
      <c r="M2">
        <v>0.8</v>
      </c>
    </row>
    <row r="3" spans="1:18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5" spans="1:18" x14ac:dyDescent="0.3">
      <c r="A5" t="s">
        <v>27</v>
      </c>
      <c r="B5">
        <f>SUM(B2:B3)/2</f>
        <v>1</v>
      </c>
      <c r="E5">
        <f>SUM(E2:E3)/2</f>
        <v>1</v>
      </c>
      <c r="H5">
        <f>SUM(H2:H3)/2</f>
        <v>1</v>
      </c>
      <c r="K5">
        <f>SUM(K2:K3)/2</f>
        <v>0.95500000000000007</v>
      </c>
      <c r="N5">
        <v>0.9375</v>
      </c>
      <c r="R5" s="1">
        <f>SUM(B5:P5)/5</f>
        <v>0.97850000000000004</v>
      </c>
    </row>
    <row r="6" spans="1:18" x14ac:dyDescent="0.3">
      <c r="A6" t="s">
        <v>28</v>
      </c>
      <c r="C6">
        <f>SUM(C2:C3)/2</f>
        <v>1</v>
      </c>
      <c r="F6">
        <f>SUM(F2:F3)/2</f>
        <v>0.86499999999999999</v>
      </c>
      <c r="I6">
        <f>SUM(I2:I3)/2</f>
        <v>1</v>
      </c>
      <c r="L6">
        <f>SUM(L2:L3)/2</f>
        <v>0.85499999999999998</v>
      </c>
      <c r="O6">
        <v>1</v>
      </c>
      <c r="R6" s="1">
        <f>SUM(B6:P6)/5</f>
        <v>0.94400000000000017</v>
      </c>
    </row>
    <row r="7" spans="1:18" x14ac:dyDescent="0.3">
      <c r="A7" t="s">
        <v>29</v>
      </c>
      <c r="D7">
        <f>SUM(D2:D3)/2</f>
        <v>1</v>
      </c>
      <c r="G7">
        <f>SUM(G2:G3)/2</f>
        <v>0.91999999999999993</v>
      </c>
      <c r="J7">
        <f>SUM(J2:J3)/2</f>
        <v>1</v>
      </c>
      <c r="M7">
        <f>SUM(M2:M3)/2</f>
        <v>0.9</v>
      </c>
      <c r="P7">
        <v>0.96799999999999997</v>
      </c>
      <c r="R7" s="1">
        <f>SUM(B7:P7)/5</f>
        <v>0.95760000000000001</v>
      </c>
    </row>
    <row r="21" spans="19:19" x14ac:dyDescent="0.3">
      <c r="S21" s="1"/>
    </row>
    <row r="22" spans="19:19" x14ac:dyDescent="0.3">
      <c r="S22" s="1"/>
    </row>
    <row r="23" spans="19:19" x14ac:dyDescent="0.3">
      <c r="S23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CAD9-E958-4A3D-B1D4-A3F6596C223F}">
  <dimension ref="A1:G49"/>
  <sheetViews>
    <sheetView zoomScale="101" workbookViewId="0">
      <selection activeCell="A14" sqref="A14"/>
    </sheetView>
  </sheetViews>
  <sheetFormatPr defaultRowHeight="14.4" x14ac:dyDescent="0.3"/>
  <cols>
    <col min="1" max="1" width="18.6640625" customWidth="1"/>
    <col min="2" max="2" width="20.21875" customWidth="1"/>
    <col min="3" max="3" width="11.33203125" customWidth="1"/>
  </cols>
  <sheetData>
    <row r="1" spans="1:7" x14ac:dyDescent="0.3">
      <c r="A1" t="s">
        <v>21</v>
      </c>
      <c r="B1" t="s">
        <v>22</v>
      </c>
      <c r="C1" t="s">
        <v>23</v>
      </c>
      <c r="E1" t="s">
        <v>18</v>
      </c>
      <c r="F1" t="s">
        <v>19</v>
      </c>
      <c r="G1" t="s">
        <v>20</v>
      </c>
    </row>
    <row r="2" spans="1:7" x14ac:dyDescent="0.3">
      <c r="A2" t="s">
        <v>15</v>
      </c>
      <c r="B2" t="s">
        <v>30</v>
      </c>
      <c r="C2" t="s">
        <v>32</v>
      </c>
      <c r="E2">
        <v>1</v>
      </c>
    </row>
    <row r="3" spans="1:7" x14ac:dyDescent="0.3">
      <c r="A3" t="s">
        <v>33</v>
      </c>
      <c r="B3" t="s">
        <v>30</v>
      </c>
      <c r="C3" t="s">
        <v>30</v>
      </c>
      <c r="E3">
        <v>0.5</v>
      </c>
      <c r="F3">
        <v>0.5</v>
      </c>
    </row>
    <row r="4" spans="1:7" x14ac:dyDescent="0.3">
      <c r="A4" t="s">
        <v>16</v>
      </c>
      <c r="B4" t="s">
        <v>30</v>
      </c>
      <c r="C4" t="s">
        <v>31</v>
      </c>
      <c r="E4">
        <v>1</v>
      </c>
    </row>
    <row r="5" spans="1:7" x14ac:dyDescent="0.3">
      <c r="A5" t="s">
        <v>17</v>
      </c>
      <c r="B5" t="s">
        <v>30</v>
      </c>
      <c r="C5" t="s">
        <v>34</v>
      </c>
      <c r="E5">
        <v>1</v>
      </c>
    </row>
    <row r="6" spans="1:7" x14ac:dyDescent="0.3">
      <c r="A6" t="s">
        <v>35</v>
      </c>
      <c r="B6" t="s">
        <v>30</v>
      </c>
      <c r="C6" t="s">
        <v>36</v>
      </c>
      <c r="E6">
        <v>1</v>
      </c>
    </row>
    <row r="7" spans="1:7" x14ac:dyDescent="0.3">
      <c r="A7" t="s">
        <v>16</v>
      </c>
      <c r="B7" t="s">
        <v>30</v>
      </c>
      <c r="C7" t="s">
        <v>34</v>
      </c>
      <c r="E7">
        <v>1</v>
      </c>
    </row>
    <row r="8" spans="1:7" x14ac:dyDescent="0.3">
      <c r="A8" t="s">
        <v>16</v>
      </c>
      <c r="B8" t="s">
        <v>30</v>
      </c>
      <c r="C8" t="s">
        <v>36</v>
      </c>
      <c r="E8">
        <v>1</v>
      </c>
    </row>
    <row r="9" spans="1:7" x14ac:dyDescent="0.3">
      <c r="A9" t="s">
        <v>16</v>
      </c>
      <c r="B9" t="s">
        <v>30</v>
      </c>
      <c r="C9" t="s">
        <v>30</v>
      </c>
      <c r="E9">
        <v>1</v>
      </c>
    </row>
    <row r="11" spans="1:7" x14ac:dyDescent="0.3">
      <c r="A11" t="s">
        <v>37</v>
      </c>
      <c r="E11">
        <v>7.5</v>
      </c>
      <c r="F11">
        <v>0.5</v>
      </c>
      <c r="G11">
        <v>0</v>
      </c>
    </row>
    <row r="12" spans="1:7" x14ac:dyDescent="0.3">
      <c r="A12" t="s">
        <v>38</v>
      </c>
    </row>
    <row r="13" spans="1:7" x14ac:dyDescent="0.3">
      <c r="A13" t="s">
        <v>39</v>
      </c>
    </row>
    <row r="45" spans="1:7" x14ac:dyDescent="0.3">
      <c r="E45">
        <f>SUM(E2:E43)</f>
        <v>15</v>
      </c>
      <c r="F45">
        <v>2</v>
      </c>
      <c r="G45">
        <f>SUM(G2:G43)</f>
        <v>0</v>
      </c>
    </row>
    <row r="47" spans="1:7" x14ac:dyDescent="0.3">
      <c r="A47" t="s">
        <v>25</v>
      </c>
    </row>
    <row r="48" spans="1:7" x14ac:dyDescent="0.3">
      <c r="A48" t="s">
        <v>24</v>
      </c>
    </row>
    <row r="49" spans="1:1" x14ac:dyDescent="0.3">
      <c r="A4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UMLDiagramElements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Hanan Siala</cp:lastModifiedBy>
  <dcterms:created xsi:type="dcterms:W3CDTF">2015-06-05T18:17:20Z</dcterms:created>
  <dcterms:modified xsi:type="dcterms:W3CDTF">2025-11-24T11:09:41Z</dcterms:modified>
</cp:coreProperties>
</file>