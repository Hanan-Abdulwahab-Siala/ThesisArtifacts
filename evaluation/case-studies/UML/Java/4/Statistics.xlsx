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PC\Desktop\JSS-v2end\Case-studies\UML\Java\4\"/>
    </mc:Choice>
  </mc:AlternateContent>
  <xr:revisionPtr revIDLastSave="0" documentId="13_ncr:1_{DE9D25B4-7AB8-427E-8FDC-F9604BEB749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MLDiagramElements" sheetId="1" r:id="rId1"/>
    <sheet name="Relationship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" i="1" l="1"/>
  <c r="S24" i="1" s="1"/>
  <c r="L23" i="1"/>
  <c r="S23" i="1" s="1"/>
  <c r="K22" i="1"/>
  <c r="S22" i="1" s="1"/>
  <c r="J24" i="1"/>
  <c r="I23" i="1"/>
  <c r="H22" i="1"/>
  <c r="G24" i="1"/>
  <c r="F23" i="1"/>
  <c r="E22" i="1"/>
  <c r="D24" i="1"/>
  <c r="C23" i="1"/>
  <c r="B22" i="1"/>
  <c r="E34" i="2"/>
  <c r="G34" i="2"/>
</calcChain>
</file>

<file path=xl/sharedStrings.xml><?xml version="1.0" encoding="utf-8"?>
<sst xmlns="http://schemas.openxmlformats.org/spreadsheetml/2006/main" count="124" uniqueCount="55">
  <si>
    <t>class/Recall</t>
  </si>
  <si>
    <t>class/Precision</t>
  </si>
  <si>
    <t>class/F1</t>
  </si>
  <si>
    <t>attr/Precision</t>
  </si>
  <si>
    <t>attr/Recall</t>
  </si>
  <si>
    <t>attr/F1</t>
  </si>
  <si>
    <t>const/Precision</t>
  </si>
  <si>
    <t>const/Recall</t>
  </si>
  <si>
    <t>const/F1</t>
  </si>
  <si>
    <t>method/Precision</t>
  </si>
  <si>
    <t>method/Recall</t>
  </si>
  <si>
    <t>method/F1</t>
  </si>
  <si>
    <t>relation/Precision</t>
  </si>
  <si>
    <t>relation/Recall</t>
  </si>
  <si>
    <t>relation/F1</t>
  </si>
  <si>
    <t>association ifcase entity 0..1</t>
  </si>
  <si>
    <t xml:space="preserve">  aggregation:SequenceStatement-&gt;BParallelStatement:,:,1..*</t>
  </si>
  <si>
    <t>CreationStatement</t>
  </si>
  <si>
    <t>WhileStatement</t>
  </si>
  <si>
    <t>SequenceStatement</t>
  </si>
  <si>
    <t>CaseStatement</t>
  </si>
  <si>
    <t>ErrorStatement</t>
  </si>
  <si>
    <t>AssertStatement</t>
  </si>
  <si>
    <t>CatchStatement</t>
  </si>
  <si>
    <t>TryStatement</t>
  </si>
  <si>
    <t>IfStatement</t>
  </si>
  <si>
    <t>AssignStatement</t>
  </si>
  <si>
    <t>IfCase</t>
  </si>
  <si>
    <t>ConditionalStatement</t>
  </si>
  <si>
    <t>FinalStatement</t>
  </si>
  <si>
    <t>Realization</t>
  </si>
  <si>
    <t>Statement</t>
  </si>
  <si>
    <t>Cloneable</t>
  </si>
  <si>
    <t>Inheritance</t>
  </si>
  <si>
    <t>ReturnStatement</t>
  </si>
  <si>
    <t>BreakStatement</t>
  </si>
  <si>
    <t>ContinueStatement</t>
  </si>
  <si>
    <t>InvocationStatement</t>
  </si>
  <si>
    <t>ImplicitInvocationStatement</t>
  </si>
  <si>
    <t>Dependency</t>
  </si>
  <si>
    <t>TP</t>
  </si>
  <si>
    <t>FP</t>
  </si>
  <si>
    <t>FP:</t>
  </si>
  <si>
    <t>association:IfCase-&gt;Entity:entity,0..1:,</t>
  </si>
  <si>
    <t>FN</t>
  </si>
  <si>
    <t>Relationships</t>
  </si>
  <si>
    <t>From</t>
  </si>
  <si>
    <t>To</t>
  </si>
  <si>
    <t>Average Precision</t>
  </si>
  <si>
    <t>Average Recall</t>
  </si>
  <si>
    <t>Average F1</t>
  </si>
  <si>
    <t>Association</t>
  </si>
  <si>
    <t>Precision=0.947</t>
  </si>
  <si>
    <t>Recall=0.581</t>
  </si>
  <si>
    <t>F1-score=0.720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</si>
</sst>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4"/>
  <sheetViews>
    <sheetView tabSelected="1" workbookViewId="0">
      <selection activeCell="C9" sqref="C9"/>
    </sheetView>
  </sheetViews>
  <sheetFormatPr defaultRowHeight="14.4" x14ac:dyDescent="0.3"/>
  <cols>
    <col min="2" max="2" width="9.21875" customWidth="1"/>
    <col min="3" max="3" width="8.6640625" customWidth="1"/>
    <col min="4" max="4" width="7.77734375" customWidth="1"/>
    <col min="5" max="5" width="8.21875" customWidth="1"/>
  </cols>
  <sheetData>
    <row r="1" spans="1:17" x14ac:dyDescent="0.3">
      <c r="B1" t="s">
        <v>1</v>
      </c>
      <c r="C1" t="s">
        <v>0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7" x14ac:dyDescent="0.3">
      <c r="A2">
        <v>1</v>
      </c>
      <c r="B2">
        <v>1</v>
      </c>
      <c r="C2">
        <v>1</v>
      </c>
      <c r="D2">
        <v>1</v>
      </c>
      <c r="E2">
        <v>1</v>
      </c>
      <c r="F2">
        <v>0.38</v>
      </c>
      <c r="G2">
        <v>0.56000000000000005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</row>
    <row r="3" spans="1:17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0.98</v>
      </c>
      <c r="L3">
        <v>0.98</v>
      </c>
      <c r="M3">
        <v>0.98</v>
      </c>
      <c r="N3">
        <v>1</v>
      </c>
      <c r="O3">
        <v>1</v>
      </c>
      <c r="P3">
        <v>1</v>
      </c>
    </row>
    <row r="4" spans="1:17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0.98</v>
      </c>
      <c r="L4">
        <v>0.98</v>
      </c>
      <c r="M4">
        <v>0.98</v>
      </c>
      <c r="N4">
        <v>1</v>
      </c>
      <c r="O4">
        <v>1</v>
      </c>
      <c r="P4">
        <v>1</v>
      </c>
    </row>
    <row r="5" spans="1:17" x14ac:dyDescent="0.3">
      <c r="A5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0.98</v>
      </c>
      <c r="L5">
        <v>0.98</v>
      </c>
      <c r="M5">
        <v>0.98</v>
      </c>
      <c r="N5">
        <v>1</v>
      </c>
      <c r="O5">
        <v>1</v>
      </c>
      <c r="P5">
        <v>1</v>
      </c>
    </row>
    <row r="6" spans="1:17" x14ac:dyDescent="0.3">
      <c r="A6">
        <v>5</v>
      </c>
      <c r="B6">
        <v>1</v>
      </c>
      <c r="C6">
        <v>1</v>
      </c>
      <c r="D6">
        <v>1</v>
      </c>
      <c r="E6">
        <v>0.86</v>
      </c>
      <c r="F6">
        <v>1</v>
      </c>
      <c r="G6">
        <v>0.92</v>
      </c>
      <c r="H6">
        <v>0.88</v>
      </c>
      <c r="I6">
        <v>0.88</v>
      </c>
      <c r="J6">
        <v>0.88</v>
      </c>
      <c r="K6">
        <v>1</v>
      </c>
      <c r="L6">
        <v>0.96</v>
      </c>
      <c r="M6">
        <v>0.98</v>
      </c>
      <c r="N6">
        <v>1</v>
      </c>
      <c r="O6">
        <v>1</v>
      </c>
      <c r="P6">
        <v>1</v>
      </c>
    </row>
    <row r="7" spans="1:17" x14ac:dyDescent="0.3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</row>
    <row r="8" spans="1:17" x14ac:dyDescent="0.3">
      <c r="A8">
        <v>7</v>
      </c>
      <c r="B8">
        <v>1</v>
      </c>
      <c r="C8">
        <v>1</v>
      </c>
      <c r="D8">
        <v>1</v>
      </c>
      <c r="E8">
        <v>0.88</v>
      </c>
      <c r="F8">
        <v>1</v>
      </c>
      <c r="G8">
        <v>0.93</v>
      </c>
      <c r="H8">
        <v>1</v>
      </c>
      <c r="I8">
        <v>1</v>
      </c>
      <c r="J8">
        <v>1</v>
      </c>
      <c r="K8">
        <v>1</v>
      </c>
      <c r="L8">
        <v>0.97</v>
      </c>
      <c r="M8">
        <v>0.99</v>
      </c>
      <c r="N8">
        <v>1</v>
      </c>
      <c r="O8">
        <v>1</v>
      </c>
      <c r="P8">
        <v>1</v>
      </c>
    </row>
    <row r="9" spans="1:17" x14ac:dyDescent="0.3">
      <c r="A9">
        <v>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0.88</v>
      </c>
      <c r="I9">
        <v>1</v>
      </c>
      <c r="J9">
        <v>0.93</v>
      </c>
      <c r="K9">
        <v>0.98</v>
      </c>
      <c r="L9">
        <v>0.65</v>
      </c>
      <c r="M9">
        <v>0.78</v>
      </c>
      <c r="N9">
        <v>1</v>
      </c>
      <c r="O9">
        <v>1</v>
      </c>
      <c r="P9">
        <v>1</v>
      </c>
    </row>
    <row r="10" spans="1:17" x14ac:dyDescent="0.3">
      <c r="A10">
        <v>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0.67</v>
      </c>
      <c r="J10">
        <v>0.8</v>
      </c>
      <c r="K10">
        <v>1</v>
      </c>
      <c r="L10">
        <v>0.84</v>
      </c>
      <c r="M10">
        <v>0.91</v>
      </c>
      <c r="N10">
        <v>0.5</v>
      </c>
      <c r="O10">
        <v>1</v>
      </c>
      <c r="P10">
        <v>0.67</v>
      </c>
      <c r="Q10" t="s">
        <v>16</v>
      </c>
    </row>
    <row r="11" spans="1:17" x14ac:dyDescent="0.3">
      <c r="A11">
        <v>10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0.98</v>
      </c>
      <c r="L11">
        <v>0.94</v>
      </c>
      <c r="M11">
        <v>0.96</v>
      </c>
      <c r="N11">
        <v>1</v>
      </c>
      <c r="O11">
        <v>1</v>
      </c>
      <c r="P11">
        <v>1</v>
      </c>
    </row>
    <row r="12" spans="1:17" x14ac:dyDescent="0.3">
      <c r="A12">
        <v>11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0.96</v>
      </c>
      <c r="L12">
        <v>0.96</v>
      </c>
      <c r="M12">
        <v>0.96</v>
      </c>
      <c r="N12">
        <v>1</v>
      </c>
      <c r="O12">
        <v>1</v>
      </c>
      <c r="P12">
        <v>1</v>
      </c>
    </row>
    <row r="13" spans="1:17" x14ac:dyDescent="0.3">
      <c r="A13">
        <v>12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0.96</v>
      </c>
      <c r="L13">
        <v>0.96</v>
      </c>
      <c r="M13">
        <v>0.96</v>
      </c>
      <c r="N13">
        <v>1</v>
      </c>
      <c r="O13">
        <v>1</v>
      </c>
      <c r="P13">
        <v>1</v>
      </c>
    </row>
    <row r="14" spans="1:17" x14ac:dyDescent="0.3">
      <c r="A14">
        <v>13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0.96</v>
      </c>
      <c r="L14">
        <v>0.94</v>
      </c>
      <c r="M14">
        <v>0.95</v>
      </c>
      <c r="N14">
        <v>1</v>
      </c>
      <c r="O14">
        <v>1</v>
      </c>
      <c r="P14">
        <v>1</v>
      </c>
    </row>
    <row r="15" spans="1:17" x14ac:dyDescent="0.3">
      <c r="A15">
        <v>14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0.8</v>
      </c>
      <c r="I15">
        <v>1</v>
      </c>
      <c r="J15">
        <v>0.89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</row>
    <row r="16" spans="1:17" x14ac:dyDescent="0.3">
      <c r="A16">
        <v>15</v>
      </c>
      <c r="B16">
        <v>1</v>
      </c>
      <c r="C16">
        <v>1</v>
      </c>
      <c r="D16">
        <v>1</v>
      </c>
      <c r="E16">
        <v>0</v>
      </c>
      <c r="F16">
        <v>0</v>
      </c>
      <c r="G16">
        <v>0</v>
      </c>
      <c r="H16">
        <v>1</v>
      </c>
      <c r="I16">
        <v>1</v>
      </c>
      <c r="J16">
        <v>1</v>
      </c>
      <c r="K16">
        <v>0.93</v>
      </c>
      <c r="L16">
        <v>0.93</v>
      </c>
      <c r="M16">
        <v>0.93</v>
      </c>
      <c r="N16">
        <v>1</v>
      </c>
      <c r="O16">
        <v>1</v>
      </c>
      <c r="P16">
        <v>1</v>
      </c>
    </row>
    <row r="17" spans="1:19" x14ac:dyDescent="0.3">
      <c r="A17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0.8</v>
      </c>
      <c r="J17">
        <v>0.89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</row>
    <row r="18" spans="1:19" x14ac:dyDescent="0.3">
      <c r="A18">
        <v>17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0</v>
      </c>
      <c r="O18">
        <v>0</v>
      </c>
      <c r="P18">
        <v>0</v>
      </c>
      <c r="Q18" t="s">
        <v>15</v>
      </c>
    </row>
    <row r="19" spans="1:19" x14ac:dyDescent="0.3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0.97</v>
      </c>
      <c r="L19">
        <v>0.97</v>
      </c>
      <c r="M19">
        <v>0.97</v>
      </c>
      <c r="N19">
        <v>1</v>
      </c>
      <c r="O19">
        <v>1</v>
      </c>
      <c r="P19">
        <v>1</v>
      </c>
    </row>
    <row r="20" spans="1:19" x14ac:dyDescent="0.3">
      <c r="A20">
        <v>19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0.97</v>
      </c>
      <c r="L20">
        <v>0.97</v>
      </c>
      <c r="M20">
        <v>0.97</v>
      </c>
      <c r="N20">
        <v>1</v>
      </c>
      <c r="O20">
        <v>1</v>
      </c>
      <c r="P20">
        <v>1</v>
      </c>
    </row>
    <row r="22" spans="1:19" x14ac:dyDescent="0.3">
      <c r="A22" t="s">
        <v>48</v>
      </c>
      <c r="B22">
        <f>SUM(B2:B20)/19</f>
        <v>1</v>
      </c>
      <c r="E22">
        <f>SUM(E2:E20)/19</f>
        <v>0.93368421052631589</v>
      </c>
      <c r="H22">
        <f>SUM(H2:H20)/19</f>
        <v>0.97684210526315807</v>
      </c>
      <c r="K22">
        <f>SUM(K2:K20)/19</f>
        <v>0.981578947368421</v>
      </c>
      <c r="N22">
        <v>0.94699999999999995</v>
      </c>
      <c r="S22" s="1">
        <f>SUM(B22:N22)/5</f>
        <v>0.96782105263157892</v>
      </c>
    </row>
    <row r="23" spans="1:19" x14ac:dyDescent="0.3">
      <c r="A23" t="s">
        <v>49</v>
      </c>
      <c r="C23">
        <f>SUM(C2:C20)/19</f>
        <v>1</v>
      </c>
      <c r="F23">
        <f>SUM(F2:F20)/19</f>
        <v>0.91473684210526307</v>
      </c>
      <c r="I23">
        <f>SUM(I2:I20)/19</f>
        <v>0.96578947368421064</v>
      </c>
      <c r="L23">
        <f>SUM(L2:L20)/19</f>
        <v>0.94894736842105265</v>
      </c>
      <c r="O23">
        <v>0.58099999999999996</v>
      </c>
      <c r="S23" s="1">
        <f>SUM(C23:O23)/5</f>
        <v>0.88209473684210526</v>
      </c>
    </row>
    <row r="24" spans="1:19" x14ac:dyDescent="0.3">
      <c r="A24" t="s">
        <v>50</v>
      </c>
      <c r="D24">
        <f>SUM(E2:E20)/19</f>
        <v>0.93368421052631589</v>
      </c>
      <c r="G24">
        <f>SUM(G2:G20)/19</f>
        <v>0.91631578947368419</v>
      </c>
      <c r="J24">
        <f>SUM(J2:J20)/19</f>
        <v>0.96789473684210525</v>
      </c>
      <c r="M24">
        <f>SUM(M2:M20)/19</f>
        <v>0.96315789473684199</v>
      </c>
      <c r="P24">
        <v>0.72</v>
      </c>
      <c r="S24" s="1">
        <f>SUM(D24:P24)/5</f>
        <v>0.90021052631578935</v>
      </c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CCAD9-E958-4A3D-B1D4-A3F6596C223F}">
  <dimension ref="A1:I38"/>
  <sheetViews>
    <sheetView topLeftCell="A18" zoomScale="101" workbookViewId="0">
      <selection activeCell="A38" sqref="A38"/>
    </sheetView>
  </sheetViews>
  <sheetFormatPr defaultRowHeight="14.4" x14ac:dyDescent="0.3"/>
  <cols>
    <col min="1" max="1" width="18.6640625" customWidth="1"/>
    <col min="2" max="2" width="20.21875" customWidth="1"/>
    <col min="3" max="3" width="11.33203125" customWidth="1"/>
  </cols>
  <sheetData>
    <row r="1" spans="1:9" x14ac:dyDescent="0.3">
      <c r="A1" t="s">
        <v>45</v>
      </c>
      <c r="B1" t="s">
        <v>46</v>
      </c>
      <c r="C1" t="s">
        <v>47</v>
      </c>
      <c r="E1" t="s">
        <v>40</v>
      </c>
      <c r="F1" t="s">
        <v>41</v>
      </c>
      <c r="G1" t="s">
        <v>44</v>
      </c>
    </row>
    <row r="2" spans="1:9" x14ac:dyDescent="0.3">
      <c r="A2" t="s">
        <v>30</v>
      </c>
      <c r="B2" t="s">
        <v>31</v>
      </c>
      <c r="C2" t="s">
        <v>32</v>
      </c>
      <c r="E2">
        <v>1</v>
      </c>
    </row>
    <row r="3" spans="1:9" x14ac:dyDescent="0.3">
      <c r="A3" t="s">
        <v>33</v>
      </c>
      <c r="B3" t="s">
        <v>34</v>
      </c>
      <c r="C3" t="s">
        <v>31</v>
      </c>
      <c r="E3">
        <v>1</v>
      </c>
    </row>
    <row r="4" spans="1:9" x14ac:dyDescent="0.3">
      <c r="A4" t="s">
        <v>33</v>
      </c>
      <c r="B4" t="s">
        <v>35</v>
      </c>
      <c r="C4" t="s">
        <v>31</v>
      </c>
      <c r="E4">
        <v>1</v>
      </c>
    </row>
    <row r="5" spans="1:9" x14ac:dyDescent="0.3">
      <c r="A5" t="s">
        <v>33</v>
      </c>
      <c r="B5" t="s">
        <v>36</v>
      </c>
      <c r="C5" t="s">
        <v>31</v>
      </c>
      <c r="E5">
        <v>1</v>
      </c>
    </row>
    <row r="6" spans="1:9" x14ac:dyDescent="0.3">
      <c r="A6" t="s">
        <v>33</v>
      </c>
      <c r="B6" t="s">
        <v>37</v>
      </c>
      <c r="C6" t="s">
        <v>31</v>
      </c>
      <c r="E6">
        <v>1</v>
      </c>
    </row>
    <row r="7" spans="1:9" x14ac:dyDescent="0.3">
      <c r="A7" t="s">
        <v>33</v>
      </c>
      <c r="B7" t="s">
        <v>38</v>
      </c>
      <c r="C7" t="s">
        <v>31</v>
      </c>
      <c r="E7">
        <v>1</v>
      </c>
    </row>
    <row r="8" spans="1:9" x14ac:dyDescent="0.3">
      <c r="A8" t="s">
        <v>33</v>
      </c>
      <c r="B8" t="s">
        <v>18</v>
      </c>
      <c r="C8" t="s">
        <v>31</v>
      </c>
      <c r="E8">
        <v>1</v>
      </c>
    </row>
    <row r="9" spans="1:9" x14ac:dyDescent="0.3">
      <c r="A9" t="s">
        <v>39</v>
      </c>
      <c r="B9" t="s">
        <v>18</v>
      </c>
      <c r="C9" t="s">
        <v>17</v>
      </c>
      <c r="G9">
        <v>1</v>
      </c>
    </row>
    <row r="10" spans="1:9" x14ac:dyDescent="0.3">
      <c r="A10" t="s">
        <v>39</v>
      </c>
      <c r="B10" t="s">
        <v>18</v>
      </c>
      <c r="C10" t="s">
        <v>26</v>
      </c>
      <c r="G10">
        <v>1</v>
      </c>
    </row>
    <row r="11" spans="1:9" x14ac:dyDescent="0.3">
      <c r="A11" t="s">
        <v>39</v>
      </c>
      <c r="B11" t="s">
        <v>18</v>
      </c>
      <c r="C11" t="s">
        <v>19</v>
      </c>
      <c r="G11">
        <v>1</v>
      </c>
    </row>
    <row r="12" spans="1:9" x14ac:dyDescent="0.3">
      <c r="A12" t="s">
        <v>39</v>
      </c>
      <c r="B12" t="s">
        <v>18</v>
      </c>
      <c r="C12" t="s">
        <v>37</v>
      </c>
      <c r="G12">
        <v>1</v>
      </c>
    </row>
    <row r="13" spans="1:9" x14ac:dyDescent="0.3">
      <c r="A13" t="s">
        <v>39</v>
      </c>
      <c r="B13" t="s">
        <v>18</v>
      </c>
      <c r="C13" t="s">
        <v>28</v>
      </c>
      <c r="G13">
        <v>1</v>
      </c>
      <c r="I13" t="s">
        <v>42</v>
      </c>
    </row>
    <row r="14" spans="1:9" x14ac:dyDescent="0.3">
      <c r="A14" t="s">
        <v>33</v>
      </c>
      <c r="B14" t="s">
        <v>17</v>
      </c>
      <c r="C14" t="s">
        <v>31</v>
      </c>
      <c r="E14">
        <v>1</v>
      </c>
    </row>
    <row r="15" spans="1:9" x14ac:dyDescent="0.3">
      <c r="A15" t="s">
        <v>33</v>
      </c>
      <c r="B15" t="s">
        <v>19</v>
      </c>
      <c r="C15" t="s">
        <v>31</v>
      </c>
      <c r="E15">
        <v>1</v>
      </c>
      <c r="I15" t="s">
        <v>43</v>
      </c>
    </row>
    <row r="16" spans="1:9" x14ac:dyDescent="0.3">
      <c r="A16" t="s">
        <v>39</v>
      </c>
      <c r="B16" t="s">
        <v>19</v>
      </c>
      <c r="C16" t="s">
        <v>37</v>
      </c>
      <c r="G16">
        <v>1</v>
      </c>
    </row>
    <row r="17" spans="1:7" x14ac:dyDescent="0.3">
      <c r="A17" t="s">
        <v>39</v>
      </c>
      <c r="B17" t="s">
        <v>19</v>
      </c>
      <c r="C17" t="s">
        <v>17</v>
      </c>
      <c r="G17">
        <v>1</v>
      </c>
    </row>
    <row r="18" spans="1:7" x14ac:dyDescent="0.3">
      <c r="A18" t="s">
        <v>33</v>
      </c>
      <c r="B18" t="s">
        <v>20</v>
      </c>
      <c r="C18" t="s">
        <v>31</v>
      </c>
      <c r="E18">
        <v>1</v>
      </c>
    </row>
    <row r="19" spans="1:7" x14ac:dyDescent="0.3">
      <c r="A19" t="s">
        <v>33</v>
      </c>
      <c r="B19" t="s">
        <v>21</v>
      </c>
      <c r="C19" t="s">
        <v>31</v>
      </c>
      <c r="E19">
        <v>1</v>
      </c>
    </row>
    <row r="20" spans="1:7" x14ac:dyDescent="0.3">
      <c r="A20" t="s">
        <v>33</v>
      </c>
      <c r="B20" t="s">
        <v>22</v>
      </c>
      <c r="C20" t="s">
        <v>31</v>
      </c>
      <c r="E20">
        <v>1</v>
      </c>
    </row>
    <row r="21" spans="1:7" x14ac:dyDescent="0.3">
      <c r="A21" t="s">
        <v>33</v>
      </c>
      <c r="B21" t="s">
        <v>23</v>
      </c>
      <c r="C21" t="s">
        <v>31</v>
      </c>
      <c r="E21">
        <v>1</v>
      </c>
    </row>
    <row r="22" spans="1:7" x14ac:dyDescent="0.3">
      <c r="A22" t="s">
        <v>33</v>
      </c>
      <c r="B22" t="s">
        <v>24</v>
      </c>
      <c r="C22" t="s">
        <v>31</v>
      </c>
      <c r="E22">
        <v>1</v>
      </c>
    </row>
    <row r="23" spans="1:7" x14ac:dyDescent="0.3">
      <c r="A23" t="s">
        <v>39</v>
      </c>
      <c r="B23" t="s">
        <v>24</v>
      </c>
      <c r="C23" t="s">
        <v>19</v>
      </c>
      <c r="G23">
        <v>1</v>
      </c>
    </row>
    <row r="24" spans="1:7" x14ac:dyDescent="0.3">
      <c r="A24" t="s">
        <v>33</v>
      </c>
      <c r="B24" t="s">
        <v>25</v>
      </c>
      <c r="C24" t="s">
        <v>31</v>
      </c>
      <c r="E24">
        <v>1</v>
      </c>
    </row>
    <row r="25" spans="1:7" x14ac:dyDescent="0.3">
      <c r="A25" t="s">
        <v>39</v>
      </c>
      <c r="B25" t="s">
        <v>25</v>
      </c>
      <c r="C25" t="s">
        <v>27</v>
      </c>
      <c r="G25">
        <v>1</v>
      </c>
    </row>
    <row r="26" spans="1:7" x14ac:dyDescent="0.3">
      <c r="A26" t="s">
        <v>33</v>
      </c>
      <c r="B26" t="s">
        <v>26</v>
      </c>
      <c r="C26" t="s">
        <v>31</v>
      </c>
      <c r="E26">
        <v>1</v>
      </c>
    </row>
    <row r="27" spans="1:7" x14ac:dyDescent="0.3">
      <c r="A27" t="s">
        <v>39</v>
      </c>
      <c r="B27" t="s">
        <v>26</v>
      </c>
      <c r="C27" t="s">
        <v>19</v>
      </c>
      <c r="G27">
        <v>1</v>
      </c>
    </row>
    <row r="28" spans="1:7" x14ac:dyDescent="0.3">
      <c r="A28" t="s">
        <v>39</v>
      </c>
      <c r="B28" t="s">
        <v>26</v>
      </c>
      <c r="C28" t="s">
        <v>17</v>
      </c>
      <c r="G28">
        <v>1</v>
      </c>
    </row>
    <row r="29" spans="1:7" x14ac:dyDescent="0.3">
      <c r="A29" t="s">
        <v>51</v>
      </c>
      <c r="B29" t="s">
        <v>27</v>
      </c>
      <c r="C29" t="s">
        <v>31</v>
      </c>
      <c r="G29">
        <v>1</v>
      </c>
    </row>
    <row r="30" spans="1:7" x14ac:dyDescent="0.3">
      <c r="A30" t="s">
        <v>33</v>
      </c>
      <c r="B30" t="s">
        <v>28</v>
      </c>
      <c r="C30" t="s">
        <v>31</v>
      </c>
      <c r="E30">
        <v>1</v>
      </c>
    </row>
    <row r="31" spans="1:7" x14ac:dyDescent="0.3">
      <c r="A31" t="s">
        <v>39</v>
      </c>
      <c r="B31" t="s">
        <v>28</v>
      </c>
      <c r="C31" t="s">
        <v>19</v>
      </c>
      <c r="G31">
        <v>1</v>
      </c>
    </row>
    <row r="32" spans="1:7" x14ac:dyDescent="0.3">
      <c r="A32" t="s">
        <v>33</v>
      </c>
      <c r="B32" t="s">
        <v>29</v>
      </c>
      <c r="C32" t="s">
        <v>31</v>
      </c>
      <c r="E32">
        <v>1</v>
      </c>
    </row>
    <row r="34" spans="1:7" x14ac:dyDescent="0.3">
      <c r="E34">
        <f>SUM(E2:E32)</f>
        <v>18</v>
      </c>
      <c r="F34">
        <v>1</v>
      </c>
      <c r="G34">
        <f>SUM(G2:G32)</f>
        <v>13</v>
      </c>
    </row>
    <row r="36" spans="1:7" x14ac:dyDescent="0.3">
      <c r="A36" t="s">
        <v>53</v>
      </c>
    </row>
    <row r="37" spans="1:7" x14ac:dyDescent="0.3">
      <c r="A37" t="s">
        <v>52</v>
      </c>
    </row>
    <row r="38" spans="1:7" x14ac:dyDescent="0.3">
      <c r="A38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UMLDiagramElements</vt:lpstr>
      <vt:lpstr>Relationships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Hanan Siala</cp:lastModifiedBy>
  <dcterms:created xsi:type="dcterms:W3CDTF">2015-06-05T18:17:20Z</dcterms:created>
  <dcterms:modified xsi:type="dcterms:W3CDTF">2025-11-02T10:26:26Z</dcterms:modified>
</cp:coreProperties>
</file>