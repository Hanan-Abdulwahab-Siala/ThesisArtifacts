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C\Desktop\Java-UML-V2\My-Work-BigJava\Final-UML\Type\Output\Ahlam\WorkInEnd\"/>
    </mc:Choice>
  </mc:AlternateContent>
  <xr:revisionPtr revIDLastSave="0" documentId="13_ncr:1_{ED911FE3-73B1-429A-82CE-998F050C4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MLDiagramElements" sheetId="1" r:id="rId1"/>
    <sheet name="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R6" i="1"/>
  <c r="R5" i="1"/>
  <c r="M7" i="1"/>
  <c r="J7" i="1"/>
  <c r="G7" i="1"/>
  <c r="D7" i="1"/>
  <c r="L6" i="1"/>
  <c r="I6" i="1"/>
  <c r="F6" i="1"/>
  <c r="C6" i="1"/>
  <c r="K5" i="1"/>
  <c r="H5" i="1"/>
  <c r="E5" i="1"/>
  <c r="B5" i="1"/>
  <c r="E44" i="2"/>
  <c r="G44" i="2"/>
</calcChain>
</file>

<file path=xl/sharedStrings.xml><?xml version="1.0" encoding="utf-8"?>
<sst xmlns="http://schemas.openxmlformats.org/spreadsheetml/2006/main" count="39" uniqueCount="36">
  <si>
    <t>class/Recall</t>
  </si>
  <si>
    <t>class/Precision</t>
  </si>
  <si>
    <t>class/F1</t>
  </si>
  <si>
    <t>attr/Precision</t>
  </si>
  <si>
    <t>attr/Recall</t>
  </si>
  <si>
    <t>attr/F1</t>
  </si>
  <si>
    <t>const/Precision</t>
  </si>
  <si>
    <t>const/Recall</t>
  </si>
  <si>
    <t>const/F1</t>
  </si>
  <si>
    <t>method/Precision</t>
  </si>
  <si>
    <t>method/Recall</t>
  </si>
  <si>
    <t>method/F1</t>
  </si>
  <si>
    <t>relation/Precision</t>
  </si>
  <si>
    <t>relation/Recall</t>
  </si>
  <si>
    <t>relation/F1</t>
  </si>
  <si>
    <t>Inheritance</t>
  </si>
  <si>
    <t>Dependency</t>
  </si>
  <si>
    <t>Association</t>
  </si>
  <si>
    <t>TP</t>
  </si>
  <si>
    <t>FP</t>
  </si>
  <si>
    <t>FN</t>
  </si>
  <si>
    <t>Relationships</t>
  </si>
  <si>
    <t>From</t>
  </si>
  <si>
    <t>To</t>
  </si>
  <si>
    <t>Precision=0.9</t>
  </si>
  <si>
    <t>Recall=0.4285714</t>
  </si>
  <si>
    <t>F1-score=0.5808</t>
  </si>
  <si>
    <t>Average Precision</t>
  </si>
  <si>
    <t>Average Recall</t>
  </si>
  <si>
    <t>Average F1</t>
  </si>
  <si>
    <t>Type</t>
  </si>
  <si>
    <t>EnumLiteral</t>
  </si>
  <si>
    <t>ModelElement</t>
  </si>
  <si>
    <t>Recall=0.333</t>
  </si>
  <si>
    <t>Precision=0.5</t>
  </si>
  <si>
    <t>F1-score=0.4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</si>
</sst>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G17" sqref="G17"/>
    </sheetView>
  </sheetViews>
  <sheetFormatPr defaultRowHeight="14.4" x14ac:dyDescent="0.3"/>
  <cols>
    <col min="2" max="2" width="9.21875" customWidth="1"/>
    <col min="3" max="3" width="8.6640625" customWidth="1"/>
    <col min="4" max="4" width="7.77734375" customWidth="1"/>
    <col min="5" max="5" width="8.21875" customWidth="1"/>
  </cols>
  <sheetData>
    <row r="1" spans="1:18" x14ac:dyDescent="0.3"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8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0.67</v>
      </c>
      <c r="I2">
        <v>0.67</v>
      </c>
      <c r="J2">
        <v>0.67</v>
      </c>
      <c r="K2">
        <v>0.75</v>
      </c>
      <c r="L2">
        <v>0.65</v>
      </c>
      <c r="M2">
        <v>0.69</v>
      </c>
      <c r="N2">
        <v>1</v>
      </c>
      <c r="O2">
        <v>0.5</v>
      </c>
      <c r="P2">
        <v>0.67</v>
      </c>
    </row>
    <row r="3" spans="1:18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</row>
    <row r="5" spans="1:18" x14ac:dyDescent="0.3">
      <c r="A5" t="s">
        <v>27</v>
      </c>
      <c r="B5">
        <f>SUM(B2:B3)/2</f>
        <v>1</v>
      </c>
      <c r="E5">
        <f>SUM(E2:E3)/2</f>
        <v>1</v>
      </c>
      <c r="H5">
        <f>SUM(H2:H3)/2</f>
        <v>0.83499999999999996</v>
      </c>
      <c r="K5">
        <f>SUM(K2:K3)/2</f>
        <v>0.875</v>
      </c>
      <c r="N5">
        <v>0.5</v>
      </c>
      <c r="R5" s="1">
        <f>SUM(B5:P5)/5</f>
        <v>0.84199999999999997</v>
      </c>
    </row>
    <row r="6" spans="1:18" x14ac:dyDescent="0.3">
      <c r="A6" t="s">
        <v>28</v>
      </c>
      <c r="C6">
        <f>SUM(C2:C3)/2</f>
        <v>1</v>
      </c>
      <c r="F6">
        <f>SUM(F2:F3)/2</f>
        <v>1</v>
      </c>
      <c r="I6">
        <f>SUM(I2:I3)/2</f>
        <v>0.83499999999999996</v>
      </c>
      <c r="L6">
        <f>SUM(L2:L3)/2</f>
        <v>0.82499999999999996</v>
      </c>
      <c r="O6">
        <v>0.33300000000000002</v>
      </c>
      <c r="R6" s="1">
        <f>SUM(B6:P6)/5</f>
        <v>0.79860000000000009</v>
      </c>
    </row>
    <row r="7" spans="1:18" x14ac:dyDescent="0.3">
      <c r="A7" t="s">
        <v>29</v>
      </c>
      <c r="D7">
        <f>SUM(D2:D3)/2</f>
        <v>1</v>
      </c>
      <c r="G7">
        <f>SUM(G2:G3)/2</f>
        <v>1</v>
      </c>
      <c r="J7">
        <f>SUM(J2:J3)/2</f>
        <v>0.83499999999999996</v>
      </c>
      <c r="M7">
        <f>SUM(M2:M3)/2</f>
        <v>0.84499999999999997</v>
      </c>
      <c r="P7">
        <v>0.4</v>
      </c>
      <c r="R7" s="1">
        <f>SUM(B7:P7)/5</f>
        <v>0.81600000000000006</v>
      </c>
    </row>
    <row r="21" spans="19:19" x14ac:dyDescent="0.3">
      <c r="S21" s="1"/>
    </row>
    <row r="22" spans="19:19" x14ac:dyDescent="0.3">
      <c r="S22" s="1"/>
    </row>
    <row r="23" spans="19:19" x14ac:dyDescent="0.3">
      <c r="S23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CAD9-E958-4A3D-B1D4-A3F6596C223F}">
  <dimension ref="A1:G48"/>
  <sheetViews>
    <sheetView zoomScale="101" workbookViewId="0">
      <selection activeCell="A13" sqref="A13"/>
    </sheetView>
  </sheetViews>
  <sheetFormatPr defaultRowHeight="14.4" x14ac:dyDescent="0.3"/>
  <cols>
    <col min="1" max="1" width="18.6640625" customWidth="1"/>
    <col min="2" max="2" width="20.21875" customWidth="1"/>
    <col min="3" max="3" width="11.33203125" customWidth="1"/>
  </cols>
  <sheetData>
    <row r="1" spans="1:7" x14ac:dyDescent="0.3">
      <c r="A1" t="s">
        <v>21</v>
      </c>
      <c r="B1" t="s">
        <v>22</v>
      </c>
      <c r="C1" t="s">
        <v>23</v>
      </c>
      <c r="E1" t="s">
        <v>18</v>
      </c>
      <c r="F1" t="s">
        <v>19</v>
      </c>
      <c r="G1" t="s">
        <v>20</v>
      </c>
    </row>
    <row r="2" spans="1:7" x14ac:dyDescent="0.3">
      <c r="A2" t="s">
        <v>15</v>
      </c>
      <c r="B2" t="s">
        <v>30</v>
      </c>
      <c r="C2" t="s">
        <v>32</v>
      </c>
      <c r="E2">
        <v>1</v>
      </c>
    </row>
    <row r="3" spans="1:7" x14ac:dyDescent="0.3">
      <c r="A3" t="s">
        <v>17</v>
      </c>
      <c r="B3" t="s">
        <v>30</v>
      </c>
      <c r="C3" t="s">
        <v>30</v>
      </c>
      <c r="G3">
        <v>1</v>
      </c>
    </row>
    <row r="4" spans="1:7" x14ac:dyDescent="0.3">
      <c r="A4" t="s">
        <v>16</v>
      </c>
      <c r="B4" t="s">
        <v>30</v>
      </c>
      <c r="C4" t="s">
        <v>31</v>
      </c>
      <c r="G4">
        <v>1</v>
      </c>
    </row>
    <row r="5" spans="1:7" x14ac:dyDescent="0.3">
      <c r="F5">
        <v>1</v>
      </c>
    </row>
    <row r="7" spans="1:7" x14ac:dyDescent="0.3">
      <c r="E7">
        <v>1</v>
      </c>
      <c r="F7">
        <v>1</v>
      </c>
      <c r="G7">
        <v>2</v>
      </c>
    </row>
    <row r="10" spans="1:7" x14ac:dyDescent="0.3">
      <c r="A10" t="s">
        <v>34</v>
      </c>
    </row>
    <row r="11" spans="1:7" x14ac:dyDescent="0.3">
      <c r="A11" t="s">
        <v>33</v>
      </c>
    </row>
    <row r="12" spans="1:7" x14ac:dyDescent="0.3">
      <c r="A12" t="s">
        <v>35</v>
      </c>
    </row>
    <row r="44" spans="1:7" x14ac:dyDescent="0.3">
      <c r="E44">
        <f>SUM(E2:E42)</f>
        <v>2</v>
      </c>
      <c r="F44">
        <v>2</v>
      </c>
      <c r="G44">
        <f>SUM(G2:G42)</f>
        <v>4</v>
      </c>
    </row>
    <row r="46" spans="1:7" x14ac:dyDescent="0.3">
      <c r="A46" t="s">
        <v>25</v>
      </c>
    </row>
    <row r="47" spans="1:7" x14ac:dyDescent="0.3">
      <c r="A47" t="s">
        <v>24</v>
      </c>
    </row>
    <row r="48" spans="1:7" x14ac:dyDescent="0.3">
      <c r="A4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UMLDiagramElements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Hanan Siala</cp:lastModifiedBy>
  <dcterms:created xsi:type="dcterms:W3CDTF">2015-06-05T18:17:20Z</dcterms:created>
  <dcterms:modified xsi:type="dcterms:W3CDTF">2025-11-01T13:25:29Z</dcterms:modified>
</cp:coreProperties>
</file>